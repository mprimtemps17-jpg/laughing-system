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はじめに" sheetId="1" state="visible" r:id="rId1"/>
    <sheet name="判定基準" sheetId="2" state="visible" r:id="rId2"/>
    <sheet name="評価票" sheetId="3" state="visible" r:id="rId3"/>
    <sheet name="作業記録" sheetId="4" state="visible" r:id="rId4"/>
    <sheet name="回答データ" sheetId="5" state="veryHidden" r:id="rId5"/>
    <sheet name="回答の比較" sheetId="6" state="visible" r:id="rId6"/>
  </sheets>
  <definedNames>
    <definedName name="_xlnm.Print_Titles" localSheetId="2">'評価票'!$1:$1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00000000"/>
      <sz val="10"/>
    </font>
    <font>
      <name val="Meiryo"/>
      <b val="1"/>
      <color rgb="00000000"/>
      <sz val="14"/>
    </font>
    <font>
      <name val="Meiryo"/>
      <color rgb="00000000"/>
      <sz val="10"/>
    </font>
    <font>
      <name val="Meiryo"/>
      <color rgb="00595959"/>
      <sz val="10"/>
    </font>
    <font>
      <name val="Meiryo"/>
      <b val="1"/>
      <color rgb="00000000"/>
      <sz val="13"/>
    </font>
    <font>
      <name val="Meiryo"/>
      <b val="1"/>
      <color rgb="00C00000"/>
      <sz val="10"/>
    </font>
  </fonts>
  <fills count="4">
    <fill>
      <patternFill/>
    </fill>
    <fill>
      <patternFill patternType="gray125"/>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2" fillId="0" borderId="0" pivotButton="0" quotePrefix="0" xfId="0"/>
    <xf numFmtId="0" fontId="1" fillId="0" borderId="0" applyAlignment="1" pivotButton="0" quotePrefix="0" xfId="0">
      <alignment vertical="top" wrapText="1"/>
    </xf>
    <xf numFmtId="0" fontId="3" fillId="2" borderId="1"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4" fillId="0" borderId="1" applyAlignment="1" pivotButton="0" quotePrefix="0" xfId="0">
      <alignment vertical="top" wrapText="1"/>
    </xf>
    <xf numFmtId="0" fontId="5" fillId="0" borderId="0" pivotButton="0" quotePrefix="0" xfId="0"/>
    <xf numFmtId="0" fontId="3" fillId="0" borderId="0" applyAlignment="1" pivotButton="0" quotePrefix="0" xfId="0">
      <alignment wrapText="1"/>
    </xf>
    <xf numFmtId="0" fontId="1" fillId="3" borderId="1" applyAlignment="1" pivotButton="0" quotePrefix="0" xfId="0">
      <alignment horizontal="center" vertical="center" wrapText="1"/>
    </xf>
    <xf numFmtId="0" fontId="3" fillId="0" borderId="1" applyAlignment="1" pivotButton="0" quotePrefix="0" xfId="0">
      <alignment vertical="top" wrapText="1"/>
    </xf>
    <xf numFmtId="0" fontId="1" fillId="0" borderId="1" applyAlignment="1" pivotButton="0" quotePrefix="0" xfId="0">
      <alignment vertical="top" wrapText="1"/>
    </xf>
    <xf numFmtId="0" fontId="1" fillId="3" borderId="1" pivotButton="0" quotePrefix="0" xfId="0"/>
    <xf numFmtId="0" fontId="6" fillId="0" borderId="0" pivotButton="0" quotePrefix="0" xfId="0"/>
    <xf numFmtId="0" fontId="3" fillId="0" borderId="0" pivotButton="0" quotePrefix="0" xfId="0"/>
    <xf numFmtId="9"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会話の判定 評価票</t>
        </is>
      </c>
    </row>
    <row r="2">
      <c r="A2" s="2" t="inlineStr"/>
    </row>
    <row r="3">
      <c r="A3" s="2" t="inlineStr">
        <is>
          <t>評価者名</t>
        </is>
      </c>
      <c r="B3" s="3" t="inlineStr"/>
    </row>
    <row r="4">
      <c r="A4" s="2" t="inlineStr">
        <is>
          <t>記入済み</t>
        </is>
      </c>
      <c r="B4" s="4">
        <f>COUNTA(評価票!E2:E7)&amp;" / 6 件"</f>
        <v/>
      </c>
    </row>
    <row r="5">
      <c r="A5" s="2" t="inlineStr"/>
    </row>
    <row r="6" ht="15" customHeight="1">
      <c r="A6" s="2" t="inlineStr">
        <is>
          <t>この評価票について</t>
        </is>
      </c>
      <c r="B6" s="4" t="inlineStr">
        <is>
          <t>短い日本語の会話を読み、Aの「対象発言」について判定してもらいます。研究で使う正解を決めるための、大切な判定です。</t>
        </is>
      </c>
    </row>
    <row r="7" ht="120" customHeight="1">
      <c r="A7" s="2" t="inlineStr">
        <is>
          <t>ルール</t>
        </is>
      </c>
      <c r="B7" s="4" t="inlineStr">
        <is>
          <t>・ほかの人と相談せず、一人で判定してください（他の人の回答やAIの回答も見ないでください）。
・「判定基準」シートを先に読んでから始めてください。
・本文に書かれていることだけで判断してください。登場人物の性格や気持ちは想像しなくて大丈夫です。
・1件ずつ独立に判断してください。似た会話があっても、前の答えに合わせる必要はありません。
・迷ったときは、迷った理由を書いてもらえるととても助かります。</t>
        </is>
      </c>
    </row>
    <row r="8" ht="45" customHeight="1">
      <c r="A8" s="2" t="inlineStr">
        <is>
          <t>記入するところ</t>
        </is>
      </c>
      <c r="B8" s="4" t="inlineStr">
        <is>
          <t>「評価票」シートの黄色いセル（判定・根拠となる箇所・理由・迷った点）と、このシートの評価者名です。
判定はセルをクリックすると出る ▼ から選びます（あり／なし／判定対象外／保留）。</t>
        </is>
      </c>
    </row>
    <row r="9" ht="15" customHeight="1">
      <c r="A9" s="2" t="inlineStr">
        <is>
          <t>作業記録</t>
        </is>
      </c>
      <c r="B9" s="4" t="inlineStr">
        <is>
          <t>作業した日ごとに「作業記録」シートに1行書いてください（所要時間は研究の計画に使います）。</t>
        </is>
      </c>
    </row>
    <row r="10" ht="30" customHeight="1">
      <c r="A10" s="2" t="inlineStr">
        <is>
          <t>回答の比較</t>
        </is>
      </c>
      <c r="B10" s="4" t="inlineStr">
        <is>
          <t>全件の判定を記入し終えると、「回答の比較」シートに、ほかの回答者の判定と理由が表示されます。自分の判定をすべて終えてから開いてください（先に見ても、全件記入するまでは表示されません）。</t>
        </is>
      </c>
    </row>
    <row r="11" ht="15" customHeight="1">
      <c r="A11" s="2" t="inlineStr">
        <is>
          <t>終わったら</t>
        </is>
      </c>
      <c r="B11" s="4" t="inlineStr">
        <is>
          <t>このファイルを保存して、研究者に返してください。</t>
        </is>
      </c>
    </row>
    <row r="12">
      <c r="A12" s="2" t="inlineStr"/>
    </row>
    <row r="13">
      <c r="A13" s="2" t="inlineStr">
        <is>
          <t>記入例</t>
        </is>
      </c>
      <c r="B13" s="2" t="inlineStr">
        <is>
          <t>（この例は説明用です。評価票の会話とは関係ありません）</t>
        </is>
      </c>
    </row>
    <row r="14" ht="105" customHeight="1">
      <c r="A14" s="5" t="inlineStr">
        <is>
          <t>文脈</t>
        </is>
      </c>
      <c r="B14" s="6" t="inlineStr">
        <is>
          <t>【背景】
AとBは同じゼミの学生。一緒に昼ごはんを食べる時刻を決めている。
【会話】
B「明日は10時から12時までゼミがある」
A「了解」
B「昼ごはんの時刻を決めよう」</t>
        </is>
      </c>
    </row>
    <row r="15" ht="15" customHeight="1">
      <c r="A15" s="5" t="inlineStr">
        <is>
          <t>対象発言（A）</t>
        </is>
      </c>
      <c r="B15" s="6" t="inlineStr">
        <is>
          <t>ゼミが終わった後の12時半からならどう？</t>
        </is>
      </c>
    </row>
    <row r="16" ht="15" customHeight="1">
      <c r="A16" s="5" t="inlineStr">
        <is>
          <t>判定</t>
        </is>
      </c>
      <c r="B16" s="6" t="inlineStr">
        <is>
          <t>なし</t>
        </is>
      </c>
    </row>
    <row r="17" ht="15" customHeight="1">
      <c r="A17" s="5" t="inlineStr">
        <is>
          <t>根拠となる箇所</t>
        </is>
      </c>
      <c r="B17" s="6" t="inlineStr">
        <is>
          <t>B「明日は10時から12時までゼミがある」A「了解」</t>
        </is>
      </c>
    </row>
    <row r="18" ht="15" customHeight="1">
      <c r="A18" s="5" t="inlineStr">
        <is>
          <t>理由・迷った点</t>
        </is>
      </c>
      <c r="B18" s="6" t="inlineStr">
        <is>
          <t>Aはゼミの時間を聞いていて、終わった後の時刻で確認している。</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7" t="inlineStr">
        <is>
          <t>判定基準</t>
        </is>
      </c>
    </row>
    <row r="3">
      <c r="A3" s="8" t="inlineStr">
        <is>
          <t>この課題での配慮不足とは、発話者Aが相手Bの時間上の制約を知っていると本文から確認できるにもかかわらず、その制約に反する予定を、必要な調整や確認をせず提案・決定することです。</t>
        </is>
      </c>
    </row>
    <row r="4">
      <c r="A4" s="8" t="inlineStr"/>
    </row>
    <row r="5">
      <c r="A5" s="8" t="inlineStr">
        <is>
          <t>次の4条件がすべてそろう場合を「あり」とします。</t>
        </is>
      </c>
    </row>
    <row r="6">
      <c r="A6" s="8" t="inlineStr">
        <is>
          <t>1. 制約が具体的：Bが参加できない時刻や、移動・作業に必要な時間が明示されている。</t>
        </is>
      </c>
    </row>
    <row r="7">
      <c r="A7" s="8" t="inlineStr">
        <is>
          <t>2. Aの情報アクセスが確認できる：BがAに伝え、Aが応答した等の根拠がある。読者が背景説明で知っているだけでは不足。</t>
        </is>
      </c>
    </row>
    <row r="8">
      <c r="A8" s="8" t="inlineStr">
        <is>
          <t>3. 対象発言が衝突する：提案・決定に従うと、その時間制約を満たせない。</t>
        </is>
      </c>
    </row>
    <row r="9">
      <c r="A9" s="8" t="inlineStr">
        <is>
          <t>4. 衝突を解消する記述がない：最新の希望変更、例外への同意、事情を踏まえた確認・調整が示されていない。</t>
        </is>
      </c>
    </row>
    <row r="10">
      <c r="A10" s="8" t="inlineStr"/>
    </row>
    <row r="11">
      <c r="A11" s="8" t="inlineStr">
        <is>
          <t>ラベルは次の4つから1つを選んでください。</t>
        </is>
      </c>
    </row>
    <row r="12">
      <c r="A12" s="8" t="inlineStr">
        <is>
          <t>- あり：上の4条件がそろう。</t>
        </is>
      </c>
    </row>
    <row r="13">
      <c r="A13" s="8" t="inlineStr">
        <is>
          <t>- なし：Aが制約を知っていることが確認でき、発言が制約に適合する、または明示的な調整・同意がある。</t>
        </is>
      </c>
    </row>
    <row r="14">
      <c r="A14" s="8" t="inlineStr">
        <is>
          <t>- 判定対象外：Bだけが事情を知り、Aには伝えていないと本文が明示している（Aは制約を知らない）。</t>
        </is>
      </c>
    </row>
    <row r="15">
      <c r="A15" s="8" t="inlineStr">
        <is>
          <t>- 保留：誰が知るか不明、時刻が曖昧、提案の強さで解釈が割れる等で、この定義では決められない。</t>
        </is>
      </c>
    </row>
    <row r="16">
      <c r="A16" s="8" t="inlineStr"/>
    </row>
    <row r="17">
      <c r="A17" s="8" t="inlineStr">
        <is>
          <t>注意：</t>
        </is>
      </c>
    </row>
    <row r="18">
      <c r="A18" s="8" t="inlineStr">
        <is>
          <t>- Aが知らない事情を、読者が背景説明で知っていても、Aの知識にはしないでください。</t>
        </is>
      </c>
    </row>
    <row r="19">
      <c r="A19" s="8" t="inlineStr">
        <is>
          <t>- 悪意・失念・理解不足など、Aの内面の原因は推測しないでください。</t>
        </is>
      </c>
    </row>
    <row r="20">
      <c r="A20" s="8" t="inlineStr">
        <is>
          <t>- 「分かった」のような短い口調でも、予定が制約に適合すれば、それだけで配慮不足にしないでください。敬語でも、既知の制約と衝突すれば「あり」になり得ます。</t>
        </is>
      </c>
    </row>
    <row r="21">
      <c r="A21" s="8" t="inlineStr">
        <is>
          <t>- Bが後から時間を変更した場合は、Aに伝わった最新の条件を使ってください。</t>
        </is>
      </c>
    </row>
    <row r="22">
      <c r="A22" s="8" t="inlineStr">
        <is>
          <t>- 事情を認めたうえで変更を確認する発言は、制約を無視した発言と区別してください。</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G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60" customWidth="1" min="3" max="3"/>
    <col width="34" customWidth="1" min="4" max="4"/>
    <col width="13" customWidth="1" min="5" max="5"/>
    <col width="34" customWidth="1" min="6" max="6"/>
    <col width="40" customWidth="1" min="7" max="7"/>
  </cols>
  <sheetData>
    <row r="1">
      <c r="A1" s="9" t="inlineStr">
        <is>
          <t>提示順</t>
        </is>
      </c>
      <c r="B1" s="9" t="inlineStr">
        <is>
          <t>ID</t>
        </is>
      </c>
      <c r="C1" s="9" t="inlineStr">
        <is>
          <t>文脈（背景と会話）</t>
        </is>
      </c>
      <c r="D1" s="9" t="inlineStr">
        <is>
          <t>対象発言（A）</t>
        </is>
      </c>
      <c r="E1" s="9" t="inlineStr">
        <is>
          <t>判定</t>
        </is>
      </c>
      <c r="F1" s="9" t="inlineStr">
        <is>
          <t>根拠となる箇所</t>
        </is>
      </c>
      <c r="G1" s="9" t="inlineStr">
        <is>
          <t>理由・迷った点</t>
        </is>
      </c>
    </row>
    <row r="2" ht="105" customHeight="1">
      <c r="A2" s="10" t="n">
        <v>1</v>
      </c>
      <c r="B2" s="10" t="inlineStr">
        <is>
          <t>Q22DD5</t>
        </is>
      </c>
      <c r="C2" s="10" t="inlineStr">
        <is>
          <t>【背景】
Bは今日18時から22時までバイトで通話できない。この事情はBだけが知っている。Aには伝えておらず、Aが別経路で知ったこともない。
【会話】
A「明日の課題について、今日30分通話しよう」
B「通話の開始時刻を決めよう」</t>
        </is>
      </c>
      <c r="D2" s="11" t="inlineStr">
        <is>
          <t>通話は今日20時開始で決定にするね</t>
        </is>
      </c>
      <c r="E2" s="3" t="n"/>
      <c r="F2" s="3" t="n"/>
      <c r="G2" s="3" t="n"/>
    </row>
    <row r="3" ht="120" customHeight="1">
      <c r="A3" s="10" t="n">
        <v>2</v>
      </c>
      <c r="B3" s="10" t="inlineStr">
        <is>
          <t>Q85ACB</t>
        </is>
      </c>
      <c r="C3" s="10" t="inlineStr">
        <is>
          <t>【背景】
同じ研究室のAとBは、大学内で30分間の打合せをする時刻を決めている。
【会話】
B「今日は13時から14時半まで授業で、打合せには参加できない」
A「了解」
B「打合せの開始時刻を決めよう」</t>
        </is>
      </c>
      <c r="D3" s="11" t="inlineStr">
        <is>
          <t>打合せは今日13時半開始で決定にするね</t>
        </is>
      </c>
      <c r="E3" s="3" t="n"/>
      <c r="F3" s="3" t="n"/>
      <c r="G3" s="3" t="n"/>
    </row>
    <row r="4" ht="120" customHeight="1">
      <c r="A4" s="10" t="n">
        <v>3</v>
      </c>
      <c r="B4" s="10" t="inlineStr">
        <is>
          <t>Q9D70C</t>
        </is>
      </c>
      <c r="C4" s="10" t="inlineStr">
        <is>
          <t>【背景】
AとBは友人で、明日の課題について30分通話する予定を決める。
【会話】
B「今日は18時から22時までバイトで、通話できない」
A「分かった」
B「通話の開始時刻を決めよう」</t>
        </is>
      </c>
      <c r="D4" s="11" t="inlineStr">
        <is>
          <t>バイトが終わった後の22時半からなら通話できる？</t>
        </is>
      </c>
      <c r="E4" s="3" t="n"/>
      <c r="F4" s="3" t="n"/>
      <c r="G4" s="3" t="n"/>
    </row>
    <row r="5" ht="120" customHeight="1">
      <c r="A5" s="10" t="n">
        <v>4</v>
      </c>
      <c r="B5" s="10" t="inlineStr">
        <is>
          <t>QD9788</t>
        </is>
      </c>
      <c r="C5" s="10" t="inlineStr">
        <is>
          <t>【背景】
同じ研究室のAとBは、大学内で30分間の打合せをする時刻を決めている。
【会話】
B「今日は13時から14時半まで授業で、打合せには参加できない」
A「了解」
B「打合せの開始時刻を決めよう」</t>
        </is>
      </c>
      <c r="D5" s="11" t="inlineStr">
        <is>
          <t>授業が終わった後の15時からなら打合せできる？</t>
        </is>
      </c>
      <c r="E5" s="3" t="n"/>
      <c r="F5" s="3" t="n"/>
      <c r="G5" s="3" t="n"/>
    </row>
    <row r="6" ht="120" customHeight="1">
      <c r="A6" s="10" t="n">
        <v>5</v>
      </c>
      <c r="B6" s="10" t="inlineStr">
        <is>
          <t>QB3345</t>
        </is>
      </c>
      <c r="C6" s="10" t="inlineStr">
        <is>
          <t>【背景】
AとBは友人で、明日の課題について30分通話する予定を決める。
【会話】
B「今日は18時から22時までバイトで、通話できない」
A「分かった」
B「通話の開始時刻を決めよう」</t>
        </is>
      </c>
      <c r="D6" s="11" t="inlineStr">
        <is>
          <t>通話は今日20時開始で決定にするね</t>
        </is>
      </c>
      <c r="E6" s="3" t="n"/>
      <c r="F6" s="3" t="n"/>
      <c r="G6" s="3" t="n"/>
    </row>
    <row r="7" ht="105" customHeight="1">
      <c r="A7" s="10" t="n">
        <v>6</v>
      </c>
      <c r="B7" s="10" t="inlineStr">
        <is>
          <t>QC6DCB</t>
        </is>
      </c>
      <c r="C7" s="10" t="inlineStr">
        <is>
          <t>【背景】
Bは今日13時から14時半まで授業で打合せに参加できない。この事情はBだけが知っている。Aには伝えておらず、Aが別経路で知ったこともない。
【会話】
A「大学で今日30分間打合せしよう」
B「打合せの開始時刻を決めよう」</t>
        </is>
      </c>
      <c r="D7" s="11" t="inlineStr">
        <is>
          <t>打合せは今日13時半開始で決定にするね</t>
        </is>
      </c>
      <c r="E7" s="3" t="n"/>
      <c r="F7" s="3" t="n"/>
      <c r="G7" s="3" t="n"/>
    </row>
  </sheetData>
  <dataValidations count="1">
    <dataValidation sqref="E2 E3 E4 E5 E6 E7" showDropDown="0" showInputMessage="0" showErrorMessage="1" allowBlank="1" errorTitle="判定" error="あり／なし／判定対象外／保留 から選んでください" type="list">
      <formula1>"あり,なし,判定対象外,保留"</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4" customWidth="1" min="1" max="1"/>
    <col width="24" customWidth="1" min="2" max="2"/>
    <col width="14" customWidth="1" min="3" max="3"/>
    <col width="70" customWidth="1" min="4" max="4"/>
  </cols>
  <sheetData>
    <row r="1">
      <c r="A1" s="12" t="inlineStr">
        <is>
          <t>日付</t>
        </is>
      </c>
      <c r="B1" s="12" t="inlineStr">
        <is>
          <t>判定した範囲（提示順）</t>
        </is>
      </c>
      <c r="C1" s="12" t="inlineStr">
        <is>
          <t>所要時間（分）</t>
        </is>
      </c>
      <c r="D1" s="12" t="inlineStr">
        <is>
          <t>気づいたこと・感想</t>
        </is>
      </c>
    </row>
    <row r="2">
      <c r="A2" s="3" t="n"/>
      <c r="B2" s="3" t="n"/>
      <c r="C2" s="3" t="n"/>
      <c r="D2" s="3" t="n"/>
    </row>
    <row r="3">
      <c r="A3" s="3" t="n"/>
      <c r="B3" s="3" t="n"/>
      <c r="C3" s="3" t="n"/>
      <c r="D3" s="3" t="n"/>
    </row>
    <row r="4">
      <c r="A4" s="3" t="n"/>
      <c r="B4" s="3" t="n"/>
      <c r="C4" s="3" t="n"/>
      <c r="D4" s="3" t="n"/>
    </row>
    <row r="5">
      <c r="A5" s="3" t="n"/>
      <c r="B5" s="3" t="n"/>
      <c r="C5" s="3" t="n"/>
      <c r="D5" s="3" t="n"/>
    </row>
    <row r="6">
      <c r="A6" s="3" t="n"/>
      <c r="B6" s="3" t="n"/>
      <c r="C6" s="3" t="n"/>
      <c r="D6" s="3" t="n"/>
    </row>
    <row r="7">
      <c r="A7" s="3" t="n"/>
      <c r="B7" s="3" t="n"/>
      <c r="C7" s="3" t="n"/>
      <c r="D7" s="3" t="n"/>
    </row>
    <row r="8">
      <c r="A8" s="3" t="n"/>
      <c r="B8" s="3" t="n"/>
      <c r="C8" s="3" t="n"/>
      <c r="D8" s="3" t="n"/>
    </row>
    <row r="9">
      <c r="A9" s="3" t="n"/>
      <c r="B9" s="3" t="n"/>
      <c r="C9" s="3" t="n"/>
      <c r="D9" s="3" t="n"/>
    </row>
    <row r="10">
      <c r="A10" s="3" t="n"/>
      <c r="B10" s="3" t="n"/>
      <c r="C10" s="3" t="n"/>
      <c r="D10" s="3" t="n"/>
    </row>
    <row r="11">
      <c r="A11" s="3" t="n"/>
      <c r="B11" s="3" t="n"/>
      <c r="C11" s="3" t="n"/>
      <c r="D11"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ID</t>
        </is>
      </c>
      <c r="B1" t="inlineStr">
        <is>
          <t>本人の判定</t>
        </is>
      </c>
      <c r="C1" t="inlineStr">
        <is>
          <t>本人の理由</t>
        </is>
      </c>
    </row>
    <row r="2">
      <c r="A2" t="inlineStr">
        <is>
          <t>Q22DD5</t>
        </is>
      </c>
      <c r="B2" t="inlineStr">
        <is>
          <t>判定対象外</t>
        </is>
      </c>
      <c r="C2" t="inlineStr">
        <is>
          <t>Aは知らないから／それでも夜の相手の事情を何も聞かずに決めようとするのは思慮が浅いと感じた</t>
        </is>
      </c>
    </row>
    <row r="3">
      <c r="A3" t="inlineStr">
        <is>
          <t>Q85ACB</t>
        </is>
      </c>
      <c r="B3" t="inlineStr">
        <is>
          <t>あり</t>
        </is>
      </c>
      <c r="C3" t="inlineStr">
        <is>
          <t>AはBの事情を知っている／事情を知っているにもかかわらず、予定のある時間にブッキングさせてきているから</t>
        </is>
      </c>
    </row>
    <row r="4">
      <c r="A4" t="inlineStr">
        <is>
          <t>Q9D70C</t>
        </is>
      </c>
      <c r="B4" t="inlineStr">
        <is>
          <t>なし</t>
        </is>
      </c>
      <c r="C4" t="inlineStr">
        <is>
          <t>相手の情報を正しく理解し、文脈に合った質問をBに対して打診できている</t>
        </is>
      </c>
    </row>
    <row r="5">
      <c r="A5" t="inlineStr">
        <is>
          <t>QD9788</t>
        </is>
      </c>
      <c r="B5" t="inlineStr">
        <is>
          <t>なし</t>
        </is>
      </c>
      <c r="C5" t="inlineStr">
        <is>
          <t>Bの話に対して矛盾を生まない時間帯で打ち合わせ時刻の質問ができている</t>
        </is>
      </c>
    </row>
    <row r="6">
      <c r="A6" t="inlineStr">
        <is>
          <t>QB3345</t>
        </is>
      </c>
      <c r="B6" t="inlineStr">
        <is>
          <t>あり</t>
        </is>
      </c>
      <c r="C6" t="inlineStr">
        <is>
          <t>直前の会話でBは20時に予定が入っているのをAは聞いている</t>
        </is>
      </c>
    </row>
    <row r="7">
      <c r="A7" t="inlineStr">
        <is>
          <t>QC6DCB</t>
        </is>
      </c>
      <c r="B7" t="inlineStr">
        <is>
          <t>判定対象外</t>
        </is>
      </c>
      <c r="C7" t="inlineStr">
        <is>
          <t>Bに予定がある事をAは知らない／だが、日中の予定を何も確認しないのもいかがなものかと感じる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pane ySplit="6" topLeftCell="A7" activePane="bottomLeft" state="frozen"/>
      <selection pane="bottomLeft" activeCell="A1" sqref="A1"/>
    </sheetView>
  </sheetViews>
  <sheetFormatPr baseColWidth="8" defaultRowHeight="15"/>
  <cols>
    <col width="7" customWidth="1" min="1" max="1"/>
    <col width="9" customWidth="1" min="2" max="2"/>
    <col width="34" customWidth="1" min="3" max="3"/>
    <col width="13" customWidth="1" min="4" max="4"/>
    <col width="13" customWidth="1" min="5" max="5"/>
    <col width="6" customWidth="1" min="6" max="6"/>
    <col width="40" customWidth="1" min="7" max="7"/>
  </cols>
  <sheetData>
    <row r="1">
      <c r="A1" s="1" t="inlineStr">
        <is>
          <t>回答の比較</t>
        </is>
      </c>
    </row>
    <row r="2">
      <c r="A2" s="5" t="inlineStr">
        <is>
          <t>状態</t>
        </is>
      </c>
      <c r="B2" s="13">
        <f>IF($B$3,"全件の記入が終わりました。ほかの回答者の判定と比べてみてください。","あと "&amp;(6-COUNTA('評価票'!$E$2:$E$7))&amp;" 件記入すると、ほかの回答者の判定が表示されます。")</f>
        <v/>
      </c>
    </row>
    <row r="3">
      <c r="A3" s="5" t="inlineStr">
        <is>
          <t>全件記入</t>
        </is>
      </c>
      <c r="B3" s="14">
        <f>COUNTA('評価票'!$E$2:$E$7)=6</f>
        <v/>
      </c>
    </row>
    <row r="6">
      <c r="A6" s="9" t="inlineStr">
        <is>
          <t>提示順</t>
        </is>
      </c>
      <c r="B6" s="9" t="inlineStr">
        <is>
          <t>ID</t>
        </is>
      </c>
      <c r="C6" s="9" t="inlineStr">
        <is>
          <t>対象発言（A）</t>
        </is>
      </c>
      <c r="D6" s="9" t="inlineStr">
        <is>
          <t>あなたの判定</t>
        </is>
      </c>
      <c r="E6" s="9" t="inlineStr">
        <is>
          <t>本人の判定</t>
        </is>
      </c>
      <c r="F6" s="9" t="inlineStr">
        <is>
          <t>一致</t>
        </is>
      </c>
      <c r="G6" s="9" t="inlineStr">
        <is>
          <t>本人の理由</t>
        </is>
      </c>
    </row>
    <row r="7" ht="45" customHeight="1">
      <c r="A7" s="10">
        <f>'評価票'!A2</f>
        <v/>
      </c>
      <c r="B7" s="10">
        <f>'評価票'!B2</f>
        <v/>
      </c>
      <c r="C7" s="10">
        <f>'評価票'!D2</f>
        <v/>
      </c>
      <c r="D7" s="11">
        <f>IF('評価票'!E2="","",'評価票'!E2)</f>
        <v/>
      </c>
      <c r="E7" s="10">
        <f>IF($B$3,INDEX('回答データ'!$A$2:$B$7,MATCH($B7,'回答データ'!$A$2:$A$7,0),2),"（全件記入後に表示）")</f>
        <v/>
      </c>
      <c r="F7" s="10">
        <f>IF($B$3,IF($D7=E7,"○","×"),"")</f>
        <v/>
      </c>
      <c r="G7" s="10">
        <f>IF($B$3,INDEX('回答データ'!$A$2:$C$7,MATCH($B7,'回答データ'!$A$2:$A$7,0),3),"")</f>
        <v/>
      </c>
    </row>
    <row r="8" ht="45" customHeight="1">
      <c r="A8" s="10">
        <f>'評価票'!A3</f>
        <v/>
      </c>
      <c r="B8" s="10">
        <f>'評価票'!B3</f>
        <v/>
      </c>
      <c r="C8" s="10">
        <f>'評価票'!D3</f>
        <v/>
      </c>
      <c r="D8" s="11">
        <f>IF('評価票'!E3="","",'評価票'!E3)</f>
        <v/>
      </c>
      <c r="E8" s="10">
        <f>IF($B$3,INDEX('回答データ'!$A$2:$B$7,MATCH($B8,'回答データ'!$A$2:$A$7,0),2),"（全件記入後に表示）")</f>
        <v/>
      </c>
      <c r="F8" s="10">
        <f>IF($B$3,IF($D8=E8,"○","×"),"")</f>
        <v/>
      </c>
      <c r="G8" s="10">
        <f>IF($B$3,INDEX('回答データ'!$A$2:$C$7,MATCH($B8,'回答データ'!$A$2:$A$7,0),3),"")</f>
        <v/>
      </c>
    </row>
    <row r="9" ht="45" customHeight="1">
      <c r="A9" s="10">
        <f>'評価票'!A4</f>
        <v/>
      </c>
      <c r="B9" s="10">
        <f>'評価票'!B4</f>
        <v/>
      </c>
      <c r="C9" s="10">
        <f>'評価票'!D4</f>
        <v/>
      </c>
      <c r="D9" s="11">
        <f>IF('評価票'!E4="","",'評価票'!E4)</f>
        <v/>
      </c>
      <c r="E9" s="10">
        <f>IF($B$3,INDEX('回答データ'!$A$2:$B$7,MATCH($B9,'回答データ'!$A$2:$A$7,0),2),"（全件記入後に表示）")</f>
        <v/>
      </c>
      <c r="F9" s="10">
        <f>IF($B$3,IF($D9=E9,"○","×"),"")</f>
        <v/>
      </c>
      <c r="G9" s="10">
        <f>IF($B$3,INDEX('回答データ'!$A$2:$C$7,MATCH($B9,'回答データ'!$A$2:$A$7,0),3),"")</f>
        <v/>
      </c>
    </row>
    <row r="10" ht="45" customHeight="1">
      <c r="A10" s="10">
        <f>'評価票'!A5</f>
        <v/>
      </c>
      <c r="B10" s="10">
        <f>'評価票'!B5</f>
        <v/>
      </c>
      <c r="C10" s="10">
        <f>'評価票'!D5</f>
        <v/>
      </c>
      <c r="D10" s="11">
        <f>IF('評価票'!E5="","",'評価票'!E5)</f>
        <v/>
      </c>
      <c r="E10" s="10">
        <f>IF($B$3,INDEX('回答データ'!$A$2:$B$7,MATCH($B10,'回答データ'!$A$2:$A$7,0),2),"（全件記入後に表示）")</f>
        <v/>
      </c>
      <c r="F10" s="10">
        <f>IF($B$3,IF($D10=E10,"○","×"),"")</f>
        <v/>
      </c>
      <c r="G10" s="10">
        <f>IF($B$3,INDEX('回答データ'!$A$2:$C$7,MATCH($B10,'回答データ'!$A$2:$A$7,0),3),"")</f>
        <v/>
      </c>
    </row>
    <row r="11" ht="45" customHeight="1">
      <c r="A11" s="10">
        <f>'評価票'!A6</f>
        <v/>
      </c>
      <c r="B11" s="10">
        <f>'評価票'!B6</f>
        <v/>
      </c>
      <c r="C11" s="10">
        <f>'評価票'!D6</f>
        <v/>
      </c>
      <c r="D11" s="11">
        <f>IF('評価票'!E6="","",'評価票'!E6)</f>
        <v/>
      </c>
      <c r="E11" s="10">
        <f>IF($B$3,INDEX('回答データ'!$A$2:$B$7,MATCH($B11,'回答データ'!$A$2:$A$7,0),2),"（全件記入後に表示）")</f>
        <v/>
      </c>
      <c r="F11" s="10">
        <f>IF($B$3,IF($D11=E11,"○","×"),"")</f>
        <v/>
      </c>
      <c r="G11" s="10">
        <f>IF($B$3,INDEX('回答データ'!$A$2:$C$7,MATCH($B11,'回答データ'!$A$2:$A$7,0),3),"")</f>
        <v/>
      </c>
    </row>
    <row r="12" ht="45" customHeight="1">
      <c r="A12" s="10">
        <f>'評価票'!A7</f>
        <v/>
      </c>
      <c r="B12" s="10">
        <f>'評価票'!B7</f>
        <v/>
      </c>
      <c r="C12" s="10">
        <f>'評価票'!D7</f>
        <v/>
      </c>
      <c r="D12" s="11">
        <f>IF('評価票'!E7="","",'評価票'!E7)</f>
        <v/>
      </c>
      <c r="E12" s="10">
        <f>IF($B$3,INDEX('回答データ'!$A$2:$B$7,MATCH($B12,'回答データ'!$A$2:$A$7,0),2),"（全件記入後に表示）")</f>
        <v/>
      </c>
      <c r="F12" s="10">
        <f>IF($B$3,IF($D12=E12,"○","×"),"")</f>
        <v/>
      </c>
      <c r="G12" s="10">
        <f>IF($B$3,INDEX('回答データ'!$A$2:$C$7,MATCH($B12,'回答データ'!$A$2:$A$7,0),3),"")</f>
        <v/>
      </c>
    </row>
    <row r="14">
      <c r="C14" s="5" t="inlineStr">
        <is>
          <t>本人との一致率</t>
        </is>
      </c>
      <c r="D14" s="15">
        <f>IF($B$3,SUMPRODUCT(--($D$7:$D$12=E$7:E$12))/6,"")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会話の判定 評価票</dc:title>
  <dcterms:created xsi:type="dcterms:W3CDTF">2026-10-27T12:00:50Z</dcterms:created>
  <dcterms:modified xsi:type="dcterms:W3CDTF">2026-10-27T12:00:50Z</dcterms:modified>
</cp:coreProperties>
</file>