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はじめに" sheetId="1" state="visible" r:id="rId1"/>
    <sheet name="判定基準" sheetId="2" state="visible" r:id="rId2"/>
    <sheet name="評価票" sheetId="3" state="visible" r:id="rId3"/>
    <sheet name="作業記録" sheetId="4" state="visible" r:id="rId4"/>
    <sheet name="回答データ" sheetId="5" state="veryHidden" r:id="rId5"/>
    <sheet name="回答の比較" sheetId="6" state="visible" r:id="rId6"/>
  </sheets>
  <definedNames>
    <definedName name="_xlnm.Print_Titles" localSheetId="2">'評価票'!$1:$1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Meiryo"/>
      <b val="1"/>
      <color rgb="00000000"/>
      <sz val="10"/>
    </font>
    <font>
      <name val="Meiryo"/>
      <b val="1"/>
      <color rgb="00000000"/>
      <sz val="14"/>
    </font>
    <font>
      <name val="Meiryo"/>
      <color rgb="00000000"/>
      <sz val="10"/>
    </font>
    <font>
      <name val="Meiryo"/>
      <color rgb="00595959"/>
      <sz val="10"/>
    </font>
    <font>
      <name val="Meiryo"/>
      <b val="1"/>
      <color rgb="00000000"/>
      <sz val="13"/>
    </font>
    <font>
      <name val="Meiryo"/>
      <b val="1"/>
      <color rgb="00C00000"/>
      <sz val="10"/>
    </font>
  </fonts>
  <fills count="4">
    <fill>
      <patternFill/>
    </fill>
    <fill>
      <patternFill patternType="gray125"/>
    </fill>
    <fill>
      <patternFill patternType="solid">
        <fgColor rgb="00FFF2CC"/>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2" fillId="0" borderId="0" pivotButton="0" quotePrefix="0" xfId="0"/>
    <xf numFmtId="0" fontId="1" fillId="0" borderId="0" applyAlignment="1" pivotButton="0" quotePrefix="0" xfId="0">
      <alignment vertical="top" wrapText="1"/>
    </xf>
    <xf numFmtId="0" fontId="3" fillId="2" borderId="1" applyAlignment="1" pivotButton="0" quotePrefix="0" xfId="0">
      <alignment vertical="top" wrapText="1"/>
    </xf>
    <xf numFmtId="0" fontId="3" fillId="0" borderId="0" applyAlignment="1" pivotButton="0" quotePrefix="0" xfId="0">
      <alignment vertical="top" wrapText="1"/>
    </xf>
    <xf numFmtId="0" fontId="1" fillId="0" borderId="0" pivotButton="0" quotePrefix="0" xfId="0"/>
    <xf numFmtId="0" fontId="4" fillId="0" borderId="1" applyAlignment="1" pivotButton="0" quotePrefix="0" xfId="0">
      <alignment vertical="top" wrapText="1"/>
    </xf>
    <xf numFmtId="0" fontId="5" fillId="0" borderId="0" pivotButton="0" quotePrefix="0" xfId="0"/>
    <xf numFmtId="0" fontId="3" fillId="0" borderId="0" applyAlignment="1" pivotButton="0" quotePrefix="0" xfId="0">
      <alignment wrapText="1"/>
    </xf>
    <xf numFmtId="0" fontId="1" fillId="3" borderId="1" applyAlignment="1" pivotButton="0" quotePrefix="0" xfId="0">
      <alignment horizontal="center" vertical="center" wrapText="1"/>
    </xf>
    <xf numFmtId="0" fontId="3" fillId="0" borderId="1" applyAlignment="1" pivotButton="0" quotePrefix="0" xfId="0">
      <alignment vertical="top" wrapText="1"/>
    </xf>
    <xf numFmtId="0" fontId="1" fillId="0" borderId="1" applyAlignment="1" pivotButton="0" quotePrefix="0" xfId="0">
      <alignment vertical="top" wrapText="1"/>
    </xf>
    <xf numFmtId="0" fontId="1" fillId="3" borderId="1" pivotButton="0" quotePrefix="0" xfId="0"/>
    <xf numFmtId="0" fontId="6" fillId="0" borderId="0" pivotButton="0" quotePrefix="0" xfId="0"/>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18"/>
  <sheetViews>
    <sheetView workbookViewId="0">
      <selection activeCell="A1" sqref="A1"/>
    </sheetView>
  </sheetViews>
  <sheetFormatPr baseColWidth="8" defaultRowHeight="15"/>
  <cols>
    <col width="18" customWidth="1" min="1" max="1"/>
    <col width="90" customWidth="1" min="2" max="2"/>
  </cols>
  <sheetData>
    <row r="1">
      <c r="A1" s="1" t="inlineStr">
        <is>
          <t>会話の判定 評価票（本番24件）</t>
        </is>
      </c>
    </row>
    <row r="2">
      <c r="A2" s="2" t="inlineStr"/>
    </row>
    <row r="3">
      <c r="A3" s="2" t="inlineStr">
        <is>
          <t>評価者名</t>
        </is>
      </c>
      <c r="B3" s="3" t="inlineStr">
        <is>
          <t>本人</t>
        </is>
      </c>
    </row>
    <row r="4">
      <c r="A4" s="2" t="inlineStr">
        <is>
          <t>記入済み</t>
        </is>
      </c>
      <c r="B4" s="4">
        <f>COUNTA(評価票!E2:E25)&amp;" / 24 件"</f>
        <v/>
      </c>
    </row>
    <row r="5">
      <c r="A5" s="2" t="inlineStr"/>
    </row>
    <row r="6" ht="15" customHeight="1">
      <c r="A6" s="2" t="inlineStr">
        <is>
          <t>この評価票について</t>
        </is>
      </c>
      <c r="B6" s="4" t="inlineStr">
        <is>
          <t>短い日本語の会話を読み、Aの「対象発言」について判定してもらいます。研究で使う正解を決めるための、大切な判定です。</t>
        </is>
      </c>
    </row>
    <row r="7" ht="120" customHeight="1">
      <c r="A7" s="2" t="inlineStr">
        <is>
          <t>ルール</t>
        </is>
      </c>
      <c r="B7" s="4" t="inlineStr">
        <is>
          <t>・ほかの人と相談せず、一人で判定してください（他の人の回答やAIの回答も見ないでください）。
・「判定基準」シートを先に読んでから始めてください。
・本文に書かれていることだけで判断してください。登場人物の性格や気持ちは想像しなくて大丈夫です。
・1件ずつ独立に判断してください。似た会話があっても、前の答えに合わせる必要はありません。
・迷ったときは、迷った理由を書いてもらえるととても助かります。</t>
        </is>
      </c>
    </row>
    <row r="8" ht="45" customHeight="1">
      <c r="A8" s="2" t="inlineStr">
        <is>
          <t>記入するところ</t>
        </is>
      </c>
      <c r="B8" s="4" t="inlineStr">
        <is>
          <t>「評価票」シートの黄色いセル（判定・根拠となる箇所・理由・迷った点）と、このシートの評価者名です。
判定はセルをクリックすると出る ▼ から選びます（あり／なし／判定対象外／保留）。</t>
        </is>
      </c>
    </row>
    <row r="9" ht="15" customHeight="1">
      <c r="A9" s="2" t="inlineStr">
        <is>
          <t>作業記録</t>
        </is>
      </c>
      <c r="B9" s="4" t="inlineStr">
        <is>
          <t>作業した日ごとに「作業記録」シートに1行書いてください（所要時間は研究の計画に使います）。</t>
        </is>
      </c>
    </row>
    <row r="10" ht="30" customHeight="1">
      <c r="A10" s="2" t="inlineStr">
        <is>
          <t>回答の比較</t>
        </is>
      </c>
      <c r="B10" s="4" t="inlineStr">
        <is>
          <t>全件の判定を記入し終えると、「回答の比較」シートに、ほかの回答者の判定と理由が表示されます。自分の判定をすべて終えてから開いてください（先に見ても、全件記入するまでは表示されません）。</t>
        </is>
      </c>
    </row>
    <row r="11" ht="15" customHeight="1">
      <c r="A11" s="2" t="inlineStr">
        <is>
          <t>終わったら</t>
        </is>
      </c>
      <c r="B11" s="4" t="inlineStr">
        <is>
          <t>このファイルを保存して、研究者に返してください。</t>
        </is>
      </c>
    </row>
    <row r="12">
      <c r="A12" s="2" t="inlineStr"/>
    </row>
    <row r="13">
      <c r="A13" s="2" t="inlineStr">
        <is>
          <t>記入例</t>
        </is>
      </c>
      <c r="B13" s="2" t="inlineStr">
        <is>
          <t>（この例は説明用です。評価票の会話とは関係ありません）</t>
        </is>
      </c>
    </row>
    <row r="14" ht="105" customHeight="1">
      <c r="A14" s="5" t="inlineStr">
        <is>
          <t>文脈</t>
        </is>
      </c>
      <c r="B14" s="6" t="inlineStr">
        <is>
          <t>【背景】
AとBは同じゼミの学生。一緒に昼ごはんを食べる時刻を決めている。
【会話】
B「明日は10時から12時までゼミがある」
A「了解」
B「昼ごはんの時刻を決めよう」</t>
        </is>
      </c>
    </row>
    <row r="15" ht="15" customHeight="1">
      <c r="A15" s="5" t="inlineStr">
        <is>
          <t>対象発言（A）</t>
        </is>
      </c>
      <c r="B15" s="6" t="inlineStr">
        <is>
          <t>ゼミが終わった後の12時半からならどう？</t>
        </is>
      </c>
    </row>
    <row r="16" ht="15" customHeight="1">
      <c r="A16" s="5" t="inlineStr">
        <is>
          <t>判定</t>
        </is>
      </c>
      <c r="B16" s="6" t="inlineStr">
        <is>
          <t>なし</t>
        </is>
      </c>
    </row>
    <row r="17" ht="15" customHeight="1">
      <c r="A17" s="5" t="inlineStr">
        <is>
          <t>根拠となる箇所</t>
        </is>
      </c>
      <c r="B17" s="6" t="inlineStr">
        <is>
          <t>B「明日は10時から12時までゼミがある」A「了解」</t>
        </is>
      </c>
    </row>
    <row r="18" ht="15" customHeight="1">
      <c r="A18" s="5" t="inlineStr">
        <is>
          <t>理由・迷った点</t>
        </is>
      </c>
      <c r="B18" s="6" t="inlineStr">
        <is>
          <t>Aはゼミの時間を聞いていて、終わった後の時刻で確認している。</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110" customWidth="1" min="1" max="1"/>
  </cols>
  <sheetData>
    <row r="1">
      <c r="A1" s="7" t="inlineStr">
        <is>
          <t>判定基準</t>
        </is>
      </c>
    </row>
    <row r="3">
      <c r="A3" s="8" t="inlineStr">
        <is>
          <t>この課題での配慮不足とは、発話者Aが相手Bの時間上の制約を知っていると本文から確認できるにもかかわらず、その制約に反する予定を、必要な調整や確認をせず提案・決定することです。</t>
        </is>
      </c>
    </row>
    <row r="4">
      <c r="A4" s="8" t="inlineStr"/>
    </row>
    <row r="5">
      <c r="A5" s="8" t="inlineStr">
        <is>
          <t>次の4条件がすべてそろう場合を「あり」とします。</t>
        </is>
      </c>
    </row>
    <row r="6">
      <c r="A6" s="8" t="inlineStr">
        <is>
          <t>1. 制約が具体的：Bが参加できない時刻や、移動・作業に必要な時間が明示されている。</t>
        </is>
      </c>
    </row>
    <row r="7">
      <c r="A7" s="8" t="inlineStr">
        <is>
          <t>2. Aの情報アクセスが確認できる：BがAに伝え、Aが応答した等の根拠がある。読者が背景説明で知っているだけでは不足。</t>
        </is>
      </c>
    </row>
    <row r="8">
      <c r="A8" s="8" t="inlineStr">
        <is>
          <t>3. 対象発言が衝突する：提案・決定に従うと、その時間制約を満たせない。</t>
        </is>
      </c>
    </row>
    <row r="9">
      <c r="A9" s="8" t="inlineStr">
        <is>
          <t>4. 衝突を解消する記述がない：最新の希望変更、例外への同意、事情を踏まえた確認・調整が示されていない。</t>
        </is>
      </c>
    </row>
    <row r="10">
      <c r="A10" s="8" t="inlineStr"/>
    </row>
    <row r="11">
      <c r="A11" s="8" t="inlineStr">
        <is>
          <t>ラベルは次の4つから1つを選んでください。</t>
        </is>
      </c>
    </row>
    <row r="12">
      <c r="A12" s="8" t="inlineStr">
        <is>
          <t>- あり：上の4条件がそろう。</t>
        </is>
      </c>
    </row>
    <row r="13">
      <c r="A13" s="8" t="inlineStr">
        <is>
          <t>- なし：Aが制約を知っていることが確認でき、発言が制約に適合する、または明示的な調整・同意がある。</t>
        </is>
      </c>
    </row>
    <row r="14">
      <c r="A14" s="8" t="inlineStr">
        <is>
          <t>- 判定対象外：Bだけが事情を知り、Aには伝えていないと本文が明示している（Aは制約を知らない）。</t>
        </is>
      </c>
    </row>
    <row r="15">
      <c r="A15" s="8" t="inlineStr">
        <is>
          <t>- 保留：誰が知るか不明、時刻が曖昧、提案の強さで解釈が割れる等で、この定義では決められない。</t>
        </is>
      </c>
    </row>
    <row r="16">
      <c r="A16" s="8" t="inlineStr"/>
    </row>
    <row r="17">
      <c r="A17" s="8" t="inlineStr">
        <is>
          <t>注意：</t>
        </is>
      </c>
    </row>
    <row r="18">
      <c r="A18" s="8" t="inlineStr">
        <is>
          <t>- Aが知らない事情を、読者が背景説明で知っていても、Aの知識にはしないでください。</t>
        </is>
      </c>
    </row>
    <row r="19">
      <c r="A19" s="8" t="inlineStr">
        <is>
          <t>- 悪意・失念・理解不足など、Aの内面の原因は推測しないでください。</t>
        </is>
      </c>
    </row>
    <row r="20">
      <c r="A20" s="8" t="inlineStr">
        <is>
          <t>- 「分かった」のような短い口調でも、予定が制約に適合すれば、それだけで配慮不足にしないでください。敬語でも、既知の制約と衝突すれば「あり」になり得ます。</t>
        </is>
      </c>
    </row>
    <row r="21">
      <c r="A21" s="8" t="inlineStr">
        <is>
          <t>- Bが後から時間を変更した場合は、Aに伝わった最新の条件を使ってください。</t>
        </is>
      </c>
    </row>
    <row r="22">
      <c r="A22" s="8" t="inlineStr">
        <is>
          <t>- 事情を認めたうえで変更を確認する発言は、制約を無視した発言と区別してください。</t>
        </is>
      </c>
    </row>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G2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60" customWidth="1" min="3" max="3"/>
    <col width="34" customWidth="1" min="4" max="4"/>
    <col width="13" customWidth="1" min="5" max="5"/>
    <col width="34" customWidth="1" min="6" max="6"/>
    <col width="40" customWidth="1" min="7" max="7"/>
  </cols>
  <sheetData>
    <row r="1">
      <c r="A1" s="9" t="inlineStr">
        <is>
          <t>提示順</t>
        </is>
      </c>
      <c r="B1" s="9" t="inlineStr">
        <is>
          <t>ID</t>
        </is>
      </c>
      <c r="C1" s="9" t="inlineStr">
        <is>
          <t>文脈（背景と会話）</t>
        </is>
      </c>
      <c r="D1" s="9" t="inlineStr">
        <is>
          <t>対象発言（A）</t>
        </is>
      </c>
      <c r="E1" s="9" t="inlineStr">
        <is>
          <t>判定</t>
        </is>
      </c>
      <c r="F1" s="9" t="inlineStr">
        <is>
          <t>根拠となる箇所</t>
        </is>
      </c>
      <c r="G1" s="9" t="inlineStr">
        <is>
          <t>理由・迷った点</t>
        </is>
      </c>
    </row>
    <row r="2" ht="105" customHeight="1">
      <c r="A2" s="10" t="n">
        <v>1</v>
      </c>
      <c r="B2" s="10" t="inlineStr">
        <is>
          <t>QD7DEB</t>
        </is>
      </c>
      <c r="C2" s="10" t="inlineStr">
        <is>
          <t>【背景】
AとBは同じ授業のグループワークのメンバー。発表資料の読み合わせをオンラインで1時間する時刻を決めている。
【会話】
A「Cさんから聞いたのですが、明日は16時から17時半まで通院があるんですよね？」
B「はい、そうなんです。読み合わせの開始時刻を決めましょう」</t>
        </is>
      </c>
      <c r="D2" s="11" t="inlineStr">
        <is>
          <t>通院が終わった後の18時からなら読み合わせできますか？</t>
        </is>
      </c>
      <c r="E2" s="3" t="inlineStr">
        <is>
          <t>なし</t>
        </is>
      </c>
      <c r="F2" s="3" t="n"/>
      <c r="G2" s="3" t="inlineStr">
        <is>
          <t>AがBの予定を確認したうえでちゃんと矛盾のない質問をできている</t>
        </is>
      </c>
    </row>
    <row r="3" ht="105" customHeight="1">
      <c r="A3" s="10" t="n">
        <v>2</v>
      </c>
      <c r="B3" s="10" t="inlineStr">
        <is>
          <t>Q07C72</t>
        </is>
      </c>
      <c r="C3" s="10" t="inlineStr">
        <is>
          <t>【背景】
AとBは同じアルバイト先の同僚。Aの引っ越しの手伝いに来てもらう時刻を決めている。
【会話】
A「Cさんから聞いたのですが、今日は10時から13時まで授業があるんですよね？」
B「はい、そうです。引っ越しの手伝いの開始時刻を決めましょう」</t>
        </is>
      </c>
      <c r="D3" s="11" t="inlineStr">
        <is>
          <t>授業が終わった後の14時半からにしましょうか。大丈夫ですか？</t>
        </is>
      </c>
      <c r="E3" s="3" t="inlineStr">
        <is>
          <t>なし</t>
        </is>
      </c>
      <c r="F3" s="3" t="n"/>
      <c r="G3" s="3" t="inlineStr">
        <is>
          <t>矛盾なし</t>
        </is>
      </c>
    </row>
    <row r="4" ht="105" customHeight="1">
      <c r="A4" s="10" t="n">
        <v>3</v>
      </c>
      <c r="B4" s="10" t="inlineStr">
        <is>
          <t>QD595E</t>
        </is>
      </c>
      <c r="C4" s="10" t="inlineStr">
        <is>
          <t>【背景】
Aは研究室の先輩、Bは後輩。新歓のビラ配りを1時間する時刻を決めている。
【会話】
A「Cから聞いたけど、明日は10時から13時までバイトがあるんだよね？」
B「はい、そうなんです。ビラ配りの開始時刻を決めましょう」</t>
        </is>
      </c>
      <c r="D4" s="11" t="inlineStr">
        <is>
          <t>じゃあ明日12時半からビラ配りしよう</t>
        </is>
      </c>
      <c r="E4" s="3" t="inlineStr">
        <is>
          <t>あり</t>
        </is>
      </c>
      <c r="F4" s="3" t="n"/>
      <c r="G4" s="3" t="inlineStr">
        <is>
          <t>AはBの情報を聞いているにもかかわらずその内容と齟齬のある会話をしている</t>
        </is>
      </c>
    </row>
    <row r="5" ht="120" customHeight="1">
      <c r="A5" s="10" t="n">
        <v>4</v>
      </c>
      <c r="B5" s="10" t="inlineStr">
        <is>
          <t>Q248D8</t>
        </is>
      </c>
      <c r="C5" s="10" t="inlineStr">
        <is>
          <t>【背景】
AとBは同じアルバイト先の同僚。Aの引っ越しの手伝いに来てもらう時刻を決めている。
Bは今日10時から13時まで授業で、引っ越しの手伝いはできない。この事情はBだけが知っている。Aには伝えておらず、Aが別の経路で知ったこともない。
【会話】
A「今日、引っ越しの手伝いをお願いできませんか」
B「引っ越しの手伝いの開始時刻を決めましょう」</t>
        </is>
      </c>
      <c r="D5" s="11" t="inlineStr">
        <is>
          <t>引っ越しの手伝いは今日12時半開始で決定にしますね</t>
        </is>
      </c>
      <c r="E5" s="3" t="inlineStr">
        <is>
          <t>判定対象外</t>
        </is>
      </c>
      <c r="F5" s="3" t="n"/>
      <c r="G5" s="3" t="inlineStr">
        <is>
          <t>Aはこれを知りようがない</t>
        </is>
      </c>
    </row>
    <row r="6" ht="120" customHeight="1">
      <c r="A6" s="10" t="n">
        <v>5</v>
      </c>
      <c r="B6" s="10" t="inlineStr">
        <is>
          <t>Q2FCAB</t>
        </is>
      </c>
      <c r="C6" s="10" t="inlineStr">
        <is>
          <t>【背景】
AとBは同じサークルの同期。ゼミ発表の練習を45分する時刻を決めている。
【会話】
B「明日は12時から17時までバイトで、発表練習はできない」
A「そっか、了解」
B「発表練習の開始時刻を決めよう」</t>
        </is>
      </c>
      <c r="D6" s="11" t="inlineStr">
        <is>
          <t>バイトが終わった後の18時からなら発表練習できる？</t>
        </is>
      </c>
      <c r="E6" s="3" t="inlineStr">
        <is>
          <t>なし</t>
        </is>
      </c>
      <c r="F6" s="3" t="n"/>
      <c r="G6" s="3" t="inlineStr">
        <is>
          <t>ok</t>
        </is>
      </c>
    </row>
    <row r="7" ht="120" customHeight="1">
      <c r="A7" s="10" t="n">
        <v>6</v>
      </c>
      <c r="B7" s="10" t="inlineStr">
        <is>
          <t>Q7200D</t>
        </is>
      </c>
      <c r="C7" s="10" t="inlineStr">
        <is>
          <t>【背景】
AとBは同じゼミの学生。備品の買い出しに1時間行く時刻を決めている。
Aが席を外している間に、Bはたまたま通りかかった知人Cと立ち話をし、「今日は13時から14時半まで就活の面接がある」と話した。Cはすぐに立ち去った。Aはその場におらず、戻ってきた後もこの話は出ていない。
【会話】
A「今日、備品の買い出しに1時間行きませんか」
B「買い出しの開始時刻を決めましょう」</t>
        </is>
      </c>
      <c r="D7" s="11" t="inlineStr">
        <is>
          <t>では今日13時半から買い出しに行きましょう</t>
        </is>
      </c>
      <c r="E7" s="3" t="inlineStr">
        <is>
          <t>判定対象外</t>
        </is>
      </c>
      <c r="F7" s="3" t="n"/>
      <c r="G7" s="3" t="inlineStr">
        <is>
          <t>Aは仕方ないが、Cが教えてあげないのには違和感を感じた（会話の自然さへの指摘）</t>
        </is>
      </c>
    </row>
    <row r="8" ht="120" customHeight="1">
      <c r="A8" s="10" t="n">
        <v>7</v>
      </c>
      <c r="B8" s="10" t="inlineStr">
        <is>
          <t>QA8585</t>
        </is>
      </c>
      <c r="C8" s="10" t="inlineStr">
        <is>
          <t>【背景】
AとBはルームメイト。図書館で1時間の勉強会をする時刻を決めている。
【会話】
B「明日は13時から14時半まで授業で、勉強会はできない」
A「分かった」
B「勉強会の開始時刻を決めよう」</t>
        </is>
      </c>
      <c r="D8" s="11" t="inlineStr">
        <is>
          <t>勉強会は明日13時半開始で決定にするね</t>
        </is>
      </c>
      <c r="E8" s="3" t="inlineStr">
        <is>
          <t>あり</t>
        </is>
      </c>
      <c r="F8" s="3" t="n"/>
      <c r="G8" s="3" t="inlineStr">
        <is>
          <t>話を聞いていない</t>
        </is>
      </c>
    </row>
    <row r="9" ht="120" customHeight="1">
      <c r="A9" s="10" t="n">
        <v>8</v>
      </c>
      <c r="B9" s="10" t="inlineStr">
        <is>
          <t>QFE625</t>
        </is>
      </c>
      <c r="C9" s="10" t="inlineStr">
        <is>
          <t>【背景】
Aは研究室の後輩、Bは先輩。2時間カラオケに行く時刻を決めている。
Aが席を外している間に、Bはたまたま通りかかった知人Cと立ち話をし、「今日は11時から12時半までゼミがある」と話した。Cはすぐに立ち去った。Aはその場におらず、戻ってきた後もこの話は出ていない。
【会話】
A「今日、カラオケに行きませんか」
B「カラオケの開始時刻を決めよう」</t>
        </is>
      </c>
      <c r="D9" s="11" t="inlineStr">
        <is>
          <t>カラオケは今日11時半開始で決定にしますね</t>
        </is>
      </c>
      <c r="E9" s="3" t="inlineStr">
        <is>
          <t>判定対象外</t>
        </is>
      </c>
      <c r="F9" s="3" t="n"/>
      <c r="G9" s="3" t="inlineStr">
        <is>
          <t>Aは知り得ない情報である</t>
        </is>
      </c>
    </row>
    <row r="10" ht="105" customHeight="1">
      <c r="A10" s="10" t="n">
        <v>9</v>
      </c>
      <c r="B10" s="10" t="inlineStr">
        <is>
          <t>QF583D</t>
        </is>
      </c>
      <c r="C10" s="10" t="inlineStr">
        <is>
          <t>【背景】
Aは研究室の先輩、Bは後輩。新歓のビラ配りを1時間する時刻を決めている。
【会話】
A「Cから聞いたけど、明日は10時から13時までバイトがあるんだよね？」
B「はい、そうなんです。ビラ配りの開始時刻を決めましょう」</t>
        </is>
      </c>
      <c r="D10" s="11" t="inlineStr">
        <is>
          <t>バイトが終わった後の14時半からにしよう。大丈夫？</t>
        </is>
      </c>
      <c r="E10" s="3" t="inlineStr">
        <is>
          <t>なし</t>
        </is>
      </c>
      <c r="F10" s="3" t="n"/>
      <c r="G10" s="3" t="inlineStr">
        <is>
          <t>しっかりと円滑な会話ができている</t>
        </is>
      </c>
    </row>
    <row r="11" ht="120" customHeight="1">
      <c r="A11" s="10" t="n">
        <v>10</v>
      </c>
      <c r="B11" s="10" t="inlineStr">
        <is>
          <t>Q0FECA</t>
        </is>
      </c>
      <c r="C11" s="10" t="inlineStr">
        <is>
          <t>【背景】
AとBは同じゼミの学生。備品の買い出しに1時間行く時刻を決めている。
前日、BはAも入っているグループチャットに「明日は13時から14時半まで就活の面接がある」と書き込み、Aはそれに「了解」と返信している。
【会話】
A「今日、備品の買い出しに1時間行きませんか」
B「買い出しの開始時刻を決めましょう」</t>
        </is>
      </c>
      <c r="D11" s="11" t="inlineStr">
        <is>
          <t>就活の面接が終わった後の15時半からなら買い出しに行けますか？</t>
        </is>
      </c>
      <c r="E11" s="3" t="inlineStr">
        <is>
          <t>なし</t>
        </is>
      </c>
      <c r="F11" s="3" t="n"/>
      <c r="G11" s="3" t="inlineStr">
        <is>
          <t>ok</t>
        </is>
      </c>
    </row>
    <row r="12" ht="120" customHeight="1">
      <c r="A12" s="10" t="n">
        <v>11</v>
      </c>
      <c r="B12" s="10" t="inlineStr">
        <is>
          <t>Q936A4</t>
        </is>
      </c>
      <c r="C12" s="10" t="inlineStr">
        <is>
          <t>【背景】
AとBはルームメイト。図書館で1時間の勉強会をする時刻を決めている。
【会話】
B「明日は13時から14時半まで授業で、勉強会はできない」
A「分かった」
B「勉強会の開始時刻を決めよう」</t>
        </is>
      </c>
      <c r="D12" s="11" t="inlineStr">
        <is>
          <t>授業が終わった後の15時からなら勉強会できる？</t>
        </is>
      </c>
      <c r="E12" s="3" t="inlineStr">
        <is>
          <t>なし</t>
        </is>
      </c>
      <c r="F12" s="3" t="n"/>
      <c r="G12" s="3" t="inlineStr">
        <is>
          <t>ok</t>
        </is>
      </c>
    </row>
    <row r="13" ht="105" customHeight="1">
      <c r="A13" s="10" t="n">
        <v>12</v>
      </c>
      <c r="B13" s="10" t="inlineStr">
        <is>
          <t>QE22E6</t>
        </is>
      </c>
      <c r="C13" s="10" t="inlineStr">
        <is>
          <t>【背景】
AとBは同じ授業のグループワークのメンバー。発表資料の読み合わせをオンラインで1時間する時刻を決めている。
【会話】
A「Cさんから聞いたのですが、明日は16時から17時半まで通院があるんですよね？」
B「はい、そうなんです。読み合わせの開始時刻を決めましょう」</t>
        </is>
      </c>
      <c r="D13" s="11" t="inlineStr">
        <is>
          <t>では明日16時から読み合わせしましょう</t>
        </is>
      </c>
      <c r="E13" s="3" t="inlineStr">
        <is>
          <t>あり</t>
        </is>
      </c>
      <c r="F13" s="3" t="n"/>
      <c r="G13" s="3" t="inlineStr">
        <is>
          <t>話を聞いていない</t>
        </is>
      </c>
    </row>
    <row r="14" ht="120" customHeight="1">
      <c r="A14" s="10" t="n">
        <v>13</v>
      </c>
      <c r="B14" s="10" t="inlineStr">
        <is>
          <t>QA5B8A</t>
        </is>
      </c>
      <c r="C14" s="10" t="inlineStr">
        <is>
          <t>【背景】
AとBはルームメイト。図書館で1時間の勉強会をする時刻を決めている。
Bは明日13時から14時半まで授業で、勉強会はできない。この事情はBだけが知っている。Aには伝えておらず、Aが別の経路で知ったこともない。
【会話】
A「明日、図書館で1時間勉強会しよう」
B「勉強会の開始時刻を決めよう」</t>
        </is>
      </c>
      <c r="D14" s="11" t="inlineStr">
        <is>
          <t>勉強会は明日13時半開始で決定にするね</t>
        </is>
      </c>
      <c r="E14" s="3" t="inlineStr">
        <is>
          <t>判定対象外</t>
        </is>
      </c>
      <c r="F14" s="3" t="n"/>
      <c r="G14" s="3" t="inlineStr">
        <is>
          <t>Aは知り得ない情報である</t>
        </is>
      </c>
    </row>
    <row r="15" ht="120" customHeight="1">
      <c r="A15" s="10" t="n">
        <v>14</v>
      </c>
      <c r="B15" s="10" t="inlineStr">
        <is>
          <t>Q87B48</t>
        </is>
      </c>
      <c r="C15" s="10" t="inlineStr">
        <is>
          <t>【背景】
Aは研究室の後輩、Bは先輩。2時間カラオケに行く時刻を決めている。
前日、BはAも入っているグループチャットに「明日は11時から12時半までゼミがある」と書き込み、Aはそれに「了解」と返信している。
【会話】
A「今日、カラオケに行きませんか」
B「カラオケの開始時刻を決めよう」</t>
        </is>
      </c>
      <c r="D15" s="11" t="inlineStr">
        <is>
          <t>カラオケは今日11時半開始で決定にしますね</t>
        </is>
      </c>
      <c r="E15" s="3" t="inlineStr">
        <is>
          <t>あり</t>
        </is>
      </c>
      <c r="F15" s="3" t="n"/>
      <c r="G15" s="3" t="inlineStr">
        <is>
          <t>話を聞いていない</t>
        </is>
      </c>
    </row>
    <row r="16" ht="120" customHeight="1">
      <c r="A16" s="10" t="n">
        <v>15</v>
      </c>
      <c r="B16" s="10" t="inlineStr">
        <is>
          <t>Q6E7E7</t>
        </is>
      </c>
      <c r="C16" s="10" t="inlineStr">
        <is>
          <t>【背景】
AとBは友人。一緒にランチに行く時刻を決めている。
【会話】
B「明日は13時から15時まで塾講師のバイトで、ランチはできない」
A「分かった」
B「ランチの開始時刻を決めよう」</t>
        </is>
      </c>
      <c r="D16" s="11" t="inlineStr">
        <is>
          <t>ランチは明日13時半開始で決定にするね</t>
        </is>
      </c>
      <c r="E16" s="3" t="inlineStr">
        <is>
          <t>あり</t>
        </is>
      </c>
      <c r="F16" s="3" t="n"/>
      <c r="G16" s="3" t="inlineStr">
        <is>
          <t>話を聞いていない</t>
        </is>
      </c>
    </row>
    <row r="17" ht="120" customHeight="1">
      <c r="A17" s="10" t="n">
        <v>16</v>
      </c>
      <c r="B17" s="10" t="inlineStr">
        <is>
          <t>Q8AEDE</t>
        </is>
      </c>
      <c r="C17" s="10" t="inlineStr">
        <is>
          <t>【背景】
Aは研究室の後輩、Bは先輩。2時間カラオケに行く時刻を決めている。
前日、BはAも入っているグループチャットに「明日は11時から12時半までゼミがある」と書き込み、Aはそれに「了解」と返信している。
【会話】
A「今日、カラオケに行きませんか」
B「カラオケの開始時刻を決めよう」</t>
        </is>
      </c>
      <c r="D17" s="11" t="inlineStr">
        <is>
          <t>ゼミが終わった後の14時からならカラオケに行けますか？</t>
        </is>
      </c>
      <c r="E17" s="3" t="inlineStr">
        <is>
          <t>なし</t>
        </is>
      </c>
      <c r="F17" s="3" t="n"/>
      <c r="G17" s="3" t="inlineStr">
        <is>
          <t>ok</t>
        </is>
      </c>
    </row>
    <row r="18" ht="120" customHeight="1">
      <c r="A18" s="10" t="n">
        <v>17</v>
      </c>
      <c r="B18" s="10" t="inlineStr">
        <is>
          <t>Q7F0F6</t>
        </is>
      </c>
      <c r="C18" s="10" t="inlineStr">
        <is>
          <t>【背景】
Aは研究室の先輩、Bは後輩。新歓のビラ配りを1時間する時刻を決めている。
Bは自分の手帳にだけ「明日は10時から13時までバイトがある」と書いている。AはBの手帳を見ておらず、Bから聞いたこともない。
【会話】
A「明日、新歓のビラ配りを1時間やろう」
B「ビラ配りの開始時刻を決めましょう」</t>
        </is>
      </c>
      <c r="D18" s="11" t="inlineStr">
        <is>
          <t>じゃあ明日12時半からビラ配りしよう</t>
        </is>
      </c>
      <c r="E18" s="3" t="inlineStr">
        <is>
          <t>判定対象外</t>
        </is>
      </c>
      <c r="F18" s="3" t="n"/>
      <c r="G18" s="3" t="inlineStr">
        <is>
          <t>Aは知り得ない情報である</t>
        </is>
      </c>
    </row>
    <row r="19" ht="120" customHeight="1">
      <c r="A19" s="10" t="n">
        <v>18</v>
      </c>
      <c r="B19" s="10" t="inlineStr">
        <is>
          <t>Q8F6D2</t>
        </is>
      </c>
      <c r="C19" s="10" t="inlineStr">
        <is>
          <t>【背景】
AとBは同じゼミの学生。備品の買い出しに1時間行く時刻を決めている。
前日、BはAも入っているグループチャットに「明日は13時から14時半まで就活の面接がある」と書き込み、Aはそれに「了解」と返信している。
【会話】
A「今日、備品の買い出しに1時間行きませんか」
B「買い出しの開始時刻を決めましょう」</t>
        </is>
      </c>
      <c r="D19" s="11" t="inlineStr">
        <is>
          <t>では今日13時半から買い出しに行きましょう</t>
        </is>
      </c>
      <c r="E19" s="3" t="inlineStr">
        <is>
          <t>あり</t>
        </is>
      </c>
      <c r="F19" s="3" t="n"/>
      <c r="G19" s="3" t="inlineStr">
        <is>
          <t>話を聞いていない</t>
        </is>
      </c>
    </row>
    <row r="20" ht="105" customHeight="1">
      <c r="A20" s="10" t="n">
        <v>19</v>
      </c>
      <c r="B20" s="10" t="inlineStr">
        <is>
          <t>QA2B34</t>
        </is>
      </c>
      <c r="C20" s="10" t="inlineStr">
        <is>
          <t>【背景】
AとBは同じアルバイト先の同僚。Aの引っ越しの手伝いに来てもらう時刻を決めている。
【会話】
A「Cさんから聞いたのですが、今日は10時から13時まで授業があるんですよね？」
B「はい、そうです。引っ越しの手伝いの開始時刻を決めましょう」</t>
        </is>
      </c>
      <c r="D20" s="11" t="inlineStr">
        <is>
          <t>引っ越しの手伝いは今日12時半開始で決定にしますね</t>
        </is>
      </c>
      <c r="E20" s="3" t="inlineStr">
        <is>
          <t>あり</t>
        </is>
      </c>
      <c r="F20" s="3" t="n"/>
      <c r="G20" s="3" t="inlineStr">
        <is>
          <t>話を聞いていない</t>
        </is>
      </c>
    </row>
    <row r="21" ht="120" customHeight="1">
      <c r="A21" s="10" t="n">
        <v>20</v>
      </c>
      <c r="B21" s="10" t="inlineStr">
        <is>
          <t>Q7A5F4</t>
        </is>
      </c>
      <c r="C21" s="10" t="inlineStr">
        <is>
          <t>【背景】
AとBは友人。一緒にランチに行く時刻を決めている。
【会話】
B「明日は13時から15時まで塾講師のバイトで、ランチはできない」
A「分かった」
B「ランチの開始時刻を決めよう」</t>
        </is>
      </c>
      <c r="D21" s="11" t="inlineStr">
        <is>
          <t>塾講師のバイトの前の11時からにしよう。大丈夫？</t>
        </is>
      </c>
      <c r="E21" s="3" t="inlineStr">
        <is>
          <t>なし</t>
        </is>
      </c>
      <c r="F21" s="3" t="n"/>
      <c r="G21" s="3" t="inlineStr">
        <is>
          <t>ok</t>
        </is>
      </c>
    </row>
    <row r="22" ht="120" customHeight="1">
      <c r="A22" s="10" t="n">
        <v>21</v>
      </c>
      <c r="B22" s="10" t="inlineStr">
        <is>
          <t>Q90B92</t>
        </is>
      </c>
      <c r="C22" s="10" t="inlineStr">
        <is>
          <t>【背景】
AとBは同じサークルの同期。ゼミ発表の練習を45分する時刻を決めている。
【会話】
B「明日は12時から17時までバイトで、発表練習はできない」
A「そっか、了解」
B「発表練習の開始時刻を決めよう」</t>
        </is>
      </c>
      <c r="D22" s="11" t="inlineStr">
        <is>
          <t>じゃあ明日14時から発表練習しよう</t>
        </is>
      </c>
      <c r="E22" s="3" t="inlineStr">
        <is>
          <t>あり</t>
        </is>
      </c>
      <c r="F22" s="3" t="n"/>
      <c r="G22" s="3" t="inlineStr">
        <is>
          <t>話を聞いていない</t>
        </is>
      </c>
    </row>
    <row r="23" ht="120" customHeight="1">
      <c r="A23" s="10" t="n">
        <v>22</v>
      </c>
      <c r="B23" s="10" t="inlineStr">
        <is>
          <t>QE348E</t>
        </is>
      </c>
      <c r="C23" s="10" t="inlineStr">
        <is>
          <t>【背景】
AとBは友人。一緒にランチに行く時刻を決めている。
Bは自分の手帳にだけ「明日は13時から15時まで塾講師のバイトがある」と書いている。AはBの手帳を見ておらず、Bから聞いたこともない。
【会話】
A「明日、一緒にランチ行こう」
B「ランチの開始時刻を決めよう」</t>
        </is>
      </c>
      <c r="D23" s="11" t="inlineStr">
        <is>
          <t>ランチは明日13時半開始で決定にするね</t>
        </is>
      </c>
      <c r="E23" s="3" t="inlineStr">
        <is>
          <t>判定対象外</t>
        </is>
      </c>
      <c r="F23" s="3" t="n"/>
      <c r="G23" s="3" t="inlineStr">
        <is>
          <t>Aは知り得ない情報である</t>
        </is>
      </c>
    </row>
    <row r="24" ht="120" customHeight="1">
      <c r="A24" s="10" t="n">
        <v>23</v>
      </c>
      <c r="B24" s="10" t="inlineStr">
        <is>
          <t>QA43FB</t>
        </is>
      </c>
      <c r="C24" s="10" t="inlineStr">
        <is>
          <t>【背景】
AとBは同じサークルの同期。ゼミ発表の練習を45分する時刻を決めている。
Aが席を外している間に、Bはたまたま通りかかった知人Cと立ち話をし、「明日は12時から17時までバイトがある」と話した。Cはすぐに立ち去った。Aはその場におらず、戻ってきた後もこの話は出ていない。
【会話】
A「明日、発表練習を45分やろう」
B「発表練習の開始時刻を決めよう」</t>
        </is>
      </c>
      <c r="D24" s="11" t="inlineStr">
        <is>
          <t>じゃあ明日14時から発表練習しよう</t>
        </is>
      </c>
      <c r="E24" s="3" t="inlineStr">
        <is>
          <t>判定対象外</t>
        </is>
      </c>
      <c r="F24" s="3" t="n"/>
      <c r="G24" s="3" t="inlineStr">
        <is>
          <t>Aは知り得ない情報である</t>
        </is>
      </c>
    </row>
    <row r="25" ht="120" customHeight="1">
      <c r="A25" s="10" t="n">
        <v>24</v>
      </c>
      <c r="B25" s="10" t="inlineStr">
        <is>
          <t>QA75B6</t>
        </is>
      </c>
      <c r="C25" s="10" t="inlineStr">
        <is>
          <t>【背景】
AとBは同じ授業のグループワークのメンバー。発表資料の読み合わせをオンラインで1時間する時刻を決めている。
Bは明日16時から17時半まで通院で、読み合わせはできない。この事情はBだけが知っている。Aには伝えておらず、Aが別の経路で知ったこともない。
【会話】
A「明日、発表資料の読み合わせを1時間やりませんか」
B「読み合わせの開始時刻を決めましょう」</t>
        </is>
      </c>
      <c r="D25" s="11" t="inlineStr">
        <is>
          <t>では明日16時から読み合わせしましょう</t>
        </is>
      </c>
      <c r="E25" s="3" t="inlineStr">
        <is>
          <t>判定対象外</t>
        </is>
      </c>
      <c r="F25" s="3" t="n"/>
      <c r="G25" s="3" t="inlineStr">
        <is>
          <t>Aは知り得ない情報である</t>
        </is>
      </c>
    </row>
  </sheetData>
  <dataValidations count="1">
    <dataValidation sqref="E2 E3 E4 E5 E6 E7 E8 E9 E10 E11 E12 E13 E14 E15 E16 E17 E18 E19 E20 E21 E22 E23 E24 E25" showDropDown="0" showInputMessage="0" showErrorMessage="1" allowBlank="1" errorTitle="判定" error="あり／なし／判定対象外／保留 から選んでください" type="list">
      <formula1>"あり,なし,判定対象外,保留"</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14" customWidth="1" min="1" max="1"/>
    <col width="24" customWidth="1" min="2" max="2"/>
    <col width="14" customWidth="1" min="3" max="3"/>
    <col width="70" customWidth="1" min="4" max="4"/>
  </cols>
  <sheetData>
    <row r="1">
      <c r="A1" s="12" t="inlineStr">
        <is>
          <t>日付</t>
        </is>
      </c>
      <c r="B1" s="12" t="inlineStr">
        <is>
          <t>判定した範囲（提示順）</t>
        </is>
      </c>
      <c r="C1" s="12" t="inlineStr">
        <is>
          <t>所要時間（分）</t>
        </is>
      </c>
      <c r="D1" s="12" t="inlineStr">
        <is>
          <t>気づいたこと・感想</t>
        </is>
      </c>
    </row>
    <row r="2">
      <c r="A2" s="3" t="n"/>
      <c r="B2" s="3" t="n"/>
      <c r="C2" s="3" t="n"/>
      <c r="D2" s="3" t="n"/>
    </row>
    <row r="3">
      <c r="A3" s="3" t="n"/>
      <c r="B3" s="3" t="n"/>
      <c r="C3" s="3" t="n"/>
      <c r="D3" s="3" t="n"/>
    </row>
    <row r="4">
      <c r="A4" s="3" t="n"/>
      <c r="B4" s="3" t="n"/>
      <c r="C4" s="3" t="n"/>
      <c r="D4" s="3" t="n"/>
    </row>
    <row r="5">
      <c r="A5" s="3" t="n"/>
      <c r="B5" s="3" t="n"/>
      <c r="C5" s="3" t="n"/>
      <c r="D5" s="3" t="n"/>
    </row>
    <row r="6">
      <c r="A6" s="3" t="n"/>
      <c r="B6" s="3" t="n"/>
      <c r="C6" s="3" t="n"/>
      <c r="D6" s="3" t="n"/>
    </row>
    <row r="7">
      <c r="A7" s="3" t="n"/>
      <c r="B7" s="3" t="n"/>
      <c r="C7" s="3" t="n"/>
      <c r="D7" s="3" t="n"/>
    </row>
    <row r="8">
      <c r="A8" s="3" t="n"/>
      <c r="B8" s="3" t="n"/>
      <c r="C8" s="3" t="n"/>
      <c r="D8" s="3" t="n"/>
    </row>
    <row r="9">
      <c r="A9" s="3" t="n"/>
      <c r="B9" s="3" t="n"/>
      <c r="C9" s="3" t="n"/>
      <c r="D9" s="3" t="n"/>
    </row>
    <row r="10">
      <c r="A10" s="3" t="n"/>
      <c r="B10" s="3" t="n"/>
      <c r="C10" s="3" t="n"/>
      <c r="D10" s="3" t="n"/>
    </row>
    <row r="11">
      <c r="A11" s="3" t="n"/>
      <c r="B11" s="3" t="n"/>
      <c r="C11" s="3" t="n"/>
      <c r="D11" s="3"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sheetData>
    <row r="1">
      <c r="A1" t="inlineStr">
        <is>
          <t>ID</t>
        </is>
      </c>
    </row>
    <row r="2">
      <c r="A2" t="inlineStr">
        <is>
          <t>QD7DEB</t>
        </is>
      </c>
    </row>
    <row r="3">
      <c r="A3" t="inlineStr">
        <is>
          <t>Q07C72</t>
        </is>
      </c>
    </row>
    <row r="4">
      <c r="A4" t="inlineStr">
        <is>
          <t>QD595E</t>
        </is>
      </c>
    </row>
    <row r="5">
      <c r="A5" t="inlineStr">
        <is>
          <t>Q248D8</t>
        </is>
      </c>
    </row>
    <row r="6">
      <c r="A6" t="inlineStr">
        <is>
          <t>Q2FCAB</t>
        </is>
      </c>
    </row>
    <row r="7">
      <c r="A7" t="inlineStr">
        <is>
          <t>Q7200D</t>
        </is>
      </c>
    </row>
    <row r="8">
      <c r="A8" t="inlineStr">
        <is>
          <t>QA8585</t>
        </is>
      </c>
    </row>
    <row r="9">
      <c r="A9" t="inlineStr">
        <is>
          <t>QFE625</t>
        </is>
      </c>
    </row>
    <row r="10">
      <c r="A10" t="inlineStr">
        <is>
          <t>QF583D</t>
        </is>
      </c>
    </row>
    <row r="11">
      <c r="A11" t="inlineStr">
        <is>
          <t>Q0FECA</t>
        </is>
      </c>
    </row>
    <row r="12">
      <c r="A12" t="inlineStr">
        <is>
          <t>Q936A4</t>
        </is>
      </c>
    </row>
    <row r="13">
      <c r="A13" t="inlineStr">
        <is>
          <t>QE22E6</t>
        </is>
      </c>
    </row>
    <row r="14">
      <c r="A14" t="inlineStr">
        <is>
          <t>QA5B8A</t>
        </is>
      </c>
    </row>
    <row r="15">
      <c r="A15" t="inlineStr">
        <is>
          <t>Q87B48</t>
        </is>
      </c>
    </row>
    <row r="16">
      <c r="A16" t="inlineStr">
        <is>
          <t>Q6E7E7</t>
        </is>
      </c>
    </row>
    <row r="17">
      <c r="A17" t="inlineStr">
        <is>
          <t>Q8AEDE</t>
        </is>
      </c>
    </row>
    <row r="18">
      <c r="A18" t="inlineStr">
        <is>
          <t>Q7F0F6</t>
        </is>
      </c>
    </row>
    <row r="19">
      <c r="A19" t="inlineStr">
        <is>
          <t>Q8F6D2</t>
        </is>
      </c>
    </row>
    <row r="20">
      <c r="A20" t="inlineStr">
        <is>
          <t>QA2B34</t>
        </is>
      </c>
    </row>
    <row r="21">
      <c r="A21" t="inlineStr">
        <is>
          <t>Q7A5F4</t>
        </is>
      </c>
    </row>
    <row r="22">
      <c r="A22" t="inlineStr">
        <is>
          <t>Q90B92</t>
        </is>
      </c>
    </row>
    <row r="23">
      <c r="A23" t="inlineStr">
        <is>
          <t>QE348E</t>
        </is>
      </c>
    </row>
    <row r="24">
      <c r="A24" t="inlineStr">
        <is>
          <t>QA43FB</t>
        </is>
      </c>
    </row>
    <row r="25">
      <c r="A25" t="inlineStr">
        <is>
          <t>QA75B6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0"/>
  <sheetViews>
    <sheetView workbookViewId="0">
      <pane ySplit="6" topLeftCell="A7" activePane="bottomLeft" state="frozen"/>
      <selection pane="bottomLeft" activeCell="A1" sqref="A1"/>
    </sheetView>
  </sheetViews>
  <sheetFormatPr baseColWidth="8" defaultRowHeight="15"/>
  <cols>
    <col width="7" customWidth="1" min="1" max="1"/>
    <col width="9" customWidth="1" min="2" max="2"/>
    <col width="34" customWidth="1" min="3" max="3"/>
    <col width="13" customWidth="1" min="4" max="4"/>
  </cols>
  <sheetData>
    <row r="1">
      <c r="A1" s="1" t="inlineStr">
        <is>
          <t>回答の比較</t>
        </is>
      </c>
    </row>
    <row r="2">
      <c r="A2" s="5" t="inlineStr">
        <is>
          <t>状態</t>
        </is>
      </c>
      <c r="B2" s="13">
        <f>IF($B$3,"全件の記入が終わりました。ほかの回答者の判定と比べてみてください。","あと "&amp;(24-COUNTA('評価票'!$E$2:$E$25))&amp;" 件記入すると、ほかの回答者の判定が表示されます。")</f>
        <v/>
      </c>
    </row>
    <row r="3">
      <c r="A3" s="5" t="inlineStr">
        <is>
          <t>全件記入</t>
        </is>
      </c>
      <c r="B3" s="14">
        <f>COUNTA('評価票'!$E$2:$E$25)=24</f>
        <v/>
      </c>
    </row>
    <row r="4">
      <c r="A4" s="15" t="inlineStr">
        <is>
          <t>（まだほかの回答者の記録はありません）</t>
        </is>
      </c>
    </row>
    <row r="6">
      <c r="A6" s="9" t="inlineStr">
        <is>
          <t>提示順</t>
        </is>
      </c>
      <c r="B6" s="9" t="inlineStr">
        <is>
          <t>ID</t>
        </is>
      </c>
      <c r="C6" s="9" t="inlineStr">
        <is>
          <t>対象発言（A）</t>
        </is>
      </c>
      <c r="D6" s="9" t="inlineStr">
        <is>
          <t>あなたの判定</t>
        </is>
      </c>
    </row>
    <row r="7" ht="45" customHeight="1">
      <c r="A7" s="10">
        <f>'評価票'!A2</f>
        <v/>
      </c>
      <c r="B7" s="10">
        <f>'評価票'!B2</f>
        <v/>
      </c>
      <c r="C7" s="10">
        <f>'評価票'!D2</f>
        <v/>
      </c>
      <c r="D7" s="11">
        <f>IF('評価票'!E2="","",'評価票'!E2)</f>
        <v/>
      </c>
    </row>
    <row r="8" ht="45" customHeight="1">
      <c r="A8" s="10">
        <f>'評価票'!A3</f>
        <v/>
      </c>
      <c r="B8" s="10">
        <f>'評価票'!B3</f>
        <v/>
      </c>
      <c r="C8" s="10">
        <f>'評価票'!D3</f>
        <v/>
      </c>
      <c r="D8" s="11">
        <f>IF('評価票'!E3="","",'評価票'!E3)</f>
        <v/>
      </c>
    </row>
    <row r="9" ht="45" customHeight="1">
      <c r="A9" s="10">
        <f>'評価票'!A4</f>
        <v/>
      </c>
      <c r="B9" s="10">
        <f>'評価票'!B4</f>
        <v/>
      </c>
      <c r="C9" s="10">
        <f>'評価票'!D4</f>
        <v/>
      </c>
      <c r="D9" s="11">
        <f>IF('評価票'!E4="","",'評価票'!E4)</f>
        <v/>
      </c>
    </row>
    <row r="10" ht="45" customHeight="1">
      <c r="A10" s="10">
        <f>'評価票'!A5</f>
        <v/>
      </c>
      <c r="B10" s="10">
        <f>'評価票'!B5</f>
        <v/>
      </c>
      <c r="C10" s="10">
        <f>'評価票'!D5</f>
        <v/>
      </c>
      <c r="D10" s="11">
        <f>IF('評価票'!E5="","",'評価票'!E5)</f>
        <v/>
      </c>
    </row>
    <row r="11" ht="45" customHeight="1">
      <c r="A11" s="10">
        <f>'評価票'!A6</f>
        <v/>
      </c>
      <c r="B11" s="10">
        <f>'評価票'!B6</f>
        <v/>
      </c>
      <c r="C11" s="10">
        <f>'評価票'!D6</f>
        <v/>
      </c>
      <c r="D11" s="11">
        <f>IF('評価票'!E6="","",'評価票'!E6)</f>
        <v/>
      </c>
    </row>
    <row r="12" ht="45" customHeight="1">
      <c r="A12" s="10">
        <f>'評価票'!A7</f>
        <v/>
      </c>
      <c r="B12" s="10">
        <f>'評価票'!B7</f>
        <v/>
      </c>
      <c r="C12" s="10">
        <f>'評価票'!D7</f>
        <v/>
      </c>
      <c r="D12" s="11">
        <f>IF('評価票'!E7="","",'評価票'!E7)</f>
        <v/>
      </c>
    </row>
    <row r="13" ht="45" customHeight="1">
      <c r="A13" s="10">
        <f>'評価票'!A8</f>
        <v/>
      </c>
      <c r="B13" s="10">
        <f>'評価票'!B8</f>
        <v/>
      </c>
      <c r="C13" s="10">
        <f>'評価票'!D8</f>
        <v/>
      </c>
      <c r="D13" s="11">
        <f>IF('評価票'!E8="","",'評価票'!E8)</f>
        <v/>
      </c>
    </row>
    <row r="14" ht="45" customHeight="1">
      <c r="A14" s="10">
        <f>'評価票'!A9</f>
        <v/>
      </c>
      <c r="B14" s="10">
        <f>'評価票'!B9</f>
        <v/>
      </c>
      <c r="C14" s="10">
        <f>'評価票'!D9</f>
        <v/>
      </c>
      <c r="D14" s="11">
        <f>IF('評価票'!E9="","",'評価票'!E9)</f>
        <v/>
      </c>
    </row>
    <row r="15" ht="45" customHeight="1">
      <c r="A15" s="10">
        <f>'評価票'!A10</f>
        <v/>
      </c>
      <c r="B15" s="10">
        <f>'評価票'!B10</f>
        <v/>
      </c>
      <c r="C15" s="10">
        <f>'評価票'!D10</f>
        <v/>
      </c>
      <c r="D15" s="11">
        <f>IF('評価票'!E10="","",'評価票'!E10)</f>
        <v/>
      </c>
    </row>
    <row r="16" ht="45" customHeight="1">
      <c r="A16" s="10">
        <f>'評価票'!A11</f>
        <v/>
      </c>
      <c r="B16" s="10">
        <f>'評価票'!B11</f>
        <v/>
      </c>
      <c r="C16" s="10">
        <f>'評価票'!D11</f>
        <v/>
      </c>
      <c r="D16" s="11">
        <f>IF('評価票'!E11="","",'評価票'!E11)</f>
        <v/>
      </c>
    </row>
    <row r="17" ht="45" customHeight="1">
      <c r="A17" s="10">
        <f>'評価票'!A12</f>
        <v/>
      </c>
      <c r="B17" s="10">
        <f>'評価票'!B12</f>
        <v/>
      </c>
      <c r="C17" s="10">
        <f>'評価票'!D12</f>
        <v/>
      </c>
      <c r="D17" s="11">
        <f>IF('評価票'!E12="","",'評価票'!E12)</f>
        <v/>
      </c>
    </row>
    <row r="18" ht="45" customHeight="1">
      <c r="A18" s="10">
        <f>'評価票'!A13</f>
        <v/>
      </c>
      <c r="B18" s="10">
        <f>'評価票'!B13</f>
        <v/>
      </c>
      <c r="C18" s="10">
        <f>'評価票'!D13</f>
        <v/>
      </c>
      <c r="D18" s="11">
        <f>IF('評価票'!E13="","",'評価票'!E13)</f>
        <v/>
      </c>
    </row>
    <row r="19" ht="45" customHeight="1">
      <c r="A19" s="10">
        <f>'評価票'!A14</f>
        <v/>
      </c>
      <c r="B19" s="10">
        <f>'評価票'!B14</f>
        <v/>
      </c>
      <c r="C19" s="10">
        <f>'評価票'!D14</f>
        <v/>
      </c>
      <c r="D19" s="11">
        <f>IF('評価票'!E14="","",'評価票'!E14)</f>
        <v/>
      </c>
    </row>
    <row r="20" ht="45" customHeight="1">
      <c r="A20" s="10">
        <f>'評価票'!A15</f>
        <v/>
      </c>
      <c r="B20" s="10">
        <f>'評価票'!B15</f>
        <v/>
      </c>
      <c r="C20" s="10">
        <f>'評価票'!D15</f>
        <v/>
      </c>
      <c r="D20" s="11">
        <f>IF('評価票'!E15="","",'評価票'!E15)</f>
        <v/>
      </c>
    </row>
    <row r="21" ht="45" customHeight="1">
      <c r="A21" s="10">
        <f>'評価票'!A16</f>
        <v/>
      </c>
      <c r="B21" s="10">
        <f>'評価票'!B16</f>
        <v/>
      </c>
      <c r="C21" s="10">
        <f>'評価票'!D16</f>
        <v/>
      </c>
      <c r="D21" s="11">
        <f>IF('評価票'!E16="","",'評価票'!E16)</f>
        <v/>
      </c>
    </row>
    <row r="22" ht="45" customHeight="1">
      <c r="A22" s="10">
        <f>'評価票'!A17</f>
        <v/>
      </c>
      <c r="B22" s="10">
        <f>'評価票'!B17</f>
        <v/>
      </c>
      <c r="C22" s="10">
        <f>'評価票'!D17</f>
        <v/>
      </c>
      <c r="D22" s="11">
        <f>IF('評価票'!E17="","",'評価票'!E17)</f>
        <v/>
      </c>
    </row>
    <row r="23" ht="45" customHeight="1">
      <c r="A23" s="10">
        <f>'評価票'!A18</f>
        <v/>
      </c>
      <c r="B23" s="10">
        <f>'評価票'!B18</f>
        <v/>
      </c>
      <c r="C23" s="10">
        <f>'評価票'!D18</f>
        <v/>
      </c>
      <c r="D23" s="11">
        <f>IF('評価票'!E18="","",'評価票'!E18)</f>
        <v/>
      </c>
    </row>
    <row r="24" ht="45" customHeight="1">
      <c r="A24" s="10">
        <f>'評価票'!A19</f>
        <v/>
      </c>
      <c r="B24" s="10">
        <f>'評価票'!B19</f>
        <v/>
      </c>
      <c r="C24" s="10">
        <f>'評価票'!D19</f>
        <v/>
      </c>
      <c r="D24" s="11">
        <f>IF('評価票'!E19="","",'評価票'!E19)</f>
        <v/>
      </c>
    </row>
    <row r="25" ht="45" customHeight="1">
      <c r="A25" s="10">
        <f>'評価票'!A20</f>
        <v/>
      </c>
      <c r="B25" s="10">
        <f>'評価票'!B20</f>
        <v/>
      </c>
      <c r="C25" s="10">
        <f>'評価票'!D20</f>
        <v/>
      </c>
      <c r="D25" s="11">
        <f>IF('評価票'!E20="","",'評価票'!E20)</f>
        <v/>
      </c>
    </row>
    <row r="26" ht="45" customHeight="1">
      <c r="A26" s="10">
        <f>'評価票'!A21</f>
        <v/>
      </c>
      <c r="B26" s="10">
        <f>'評価票'!B21</f>
        <v/>
      </c>
      <c r="C26" s="10">
        <f>'評価票'!D21</f>
        <v/>
      </c>
      <c r="D26" s="11">
        <f>IF('評価票'!E21="","",'評価票'!E21)</f>
        <v/>
      </c>
    </row>
    <row r="27" ht="45" customHeight="1">
      <c r="A27" s="10">
        <f>'評価票'!A22</f>
        <v/>
      </c>
      <c r="B27" s="10">
        <f>'評価票'!B22</f>
        <v/>
      </c>
      <c r="C27" s="10">
        <f>'評価票'!D22</f>
        <v/>
      </c>
      <c r="D27" s="11">
        <f>IF('評価票'!E22="","",'評価票'!E22)</f>
        <v/>
      </c>
    </row>
    <row r="28" ht="45" customHeight="1">
      <c r="A28" s="10">
        <f>'評価票'!A23</f>
        <v/>
      </c>
      <c r="B28" s="10">
        <f>'評価票'!B23</f>
        <v/>
      </c>
      <c r="C28" s="10">
        <f>'評価票'!D23</f>
        <v/>
      </c>
      <c r="D28" s="11">
        <f>IF('評価票'!E23="","",'評価票'!E23)</f>
        <v/>
      </c>
    </row>
    <row r="29" ht="45" customHeight="1">
      <c r="A29" s="10">
        <f>'評価票'!A24</f>
        <v/>
      </c>
      <c r="B29" s="10">
        <f>'評価票'!B24</f>
        <v/>
      </c>
      <c r="C29" s="10">
        <f>'評価票'!D24</f>
        <v/>
      </c>
      <c r="D29" s="11">
        <f>IF('評価票'!E24="","",'評価票'!E24)</f>
        <v/>
      </c>
    </row>
    <row r="30" ht="45" customHeight="1">
      <c r="A30" s="10">
        <f>'評価票'!A25</f>
        <v/>
      </c>
      <c r="B30" s="10">
        <f>'評価票'!B25</f>
        <v/>
      </c>
      <c r="C30" s="10">
        <f>'評価票'!D25</f>
        <v/>
      </c>
      <c r="D30" s="11">
        <f>IF('評価票'!E25="","",'評価票'!E25)</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会話の判定 評価票（本番24件）</dc:title>
  <dcterms:created xsi:type="dcterms:W3CDTF">2026-10-27T12:00:51Z</dcterms:created>
  <dcterms:modified xsi:type="dcterms:W3CDTF">2026-10-27T12:00:51Z</dcterms:modified>
</cp:coreProperties>
</file>